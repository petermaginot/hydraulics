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repo\hydraulics\"/>
    </mc:Choice>
  </mc:AlternateContent>
  <xr:revisionPtr revIDLastSave="0" documentId="8_{0305470B-0811-474F-892C-279B2C825331}" xr6:coauthVersionLast="47" xr6:coauthVersionMax="47" xr10:uidLastSave="{00000000-0000-0000-0000-000000000000}"/>
  <bookViews>
    <workbookView xWindow="-103" yWindow="-103" windowWidth="24892" windowHeight="14914" xr2:uid="{DE71D4AC-E76B-44F1-9510-FDBF8496F60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B25" i="1" l="1"/>
  <c r="D9" i="1"/>
  <c r="D31" i="1"/>
  <c r="D8" i="1"/>
  <c r="D13" i="1"/>
  <c r="D6" i="1"/>
  <c r="D14" i="1"/>
  <c r="D15" i="1" l="1"/>
  <c r="D25" i="1"/>
  <c r="D26" i="1"/>
  <c r="D24" i="1"/>
  <c r="D32" i="1" s="1"/>
  <c r="D3" i="1"/>
  <c r="D2" i="1"/>
  <c r="B15" i="1" l="1"/>
  <c r="D4" i="1"/>
  <c r="D29" i="1"/>
  <c r="D30" i="1" s="1"/>
  <c r="D33" i="1" s="1"/>
  <c r="D5" i="1" l="1"/>
  <c r="D7" i="1" s="1"/>
  <c r="B7" i="1" s="1"/>
  <c r="B4" i="1"/>
  <c r="D34" i="1" l="1"/>
  <c r="B34" i="1" s="1"/>
  <c r="D16" i="1"/>
  <c r="B16" i="1" s="1"/>
  <c r="D35" i="1" l="1"/>
  <c r="D36" i="1" s="1"/>
  <c r="D37" i="1" s="1"/>
  <c r="D38" i="1" s="1"/>
  <c r="B38" i="1" s="1"/>
  <c r="D17" i="1"/>
  <c r="D18" i="1" s="1"/>
  <c r="B37" i="1" l="1"/>
  <c r="D19" i="1"/>
  <c r="B19" i="1" s="1"/>
</calcChain>
</file>

<file path=xl/sharedStrings.xml><?xml version="1.0" encoding="utf-8"?>
<sst xmlns="http://schemas.openxmlformats.org/spreadsheetml/2006/main" count="77" uniqueCount="55">
  <si>
    <t>External diameter</t>
  </si>
  <si>
    <t>Wall thickness</t>
  </si>
  <si>
    <t>Internal diameter</t>
  </si>
  <si>
    <t>Liquid</t>
  </si>
  <si>
    <t>Gas</t>
  </si>
  <si>
    <t>Flow rate</t>
  </si>
  <si>
    <t>in</t>
  </si>
  <si>
    <t>MMSCFD</t>
  </si>
  <si>
    <t>mol/s</t>
  </si>
  <si>
    <t>Temperature</t>
  </si>
  <si>
    <t>F</t>
  </si>
  <si>
    <t>K</t>
  </si>
  <si>
    <t>psia</t>
  </si>
  <si>
    <t>Pa</t>
  </si>
  <si>
    <t>Molar mass</t>
  </si>
  <si>
    <t>Cp</t>
  </si>
  <si>
    <t>Mass flow rate</t>
  </si>
  <si>
    <t>kg/s</t>
  </si>
  <si>
    <t>g/mol</t>
  </si>
  <si>
    <t>Volumetric flow rate</t>
  </si>
  <si>
    <t>Viscosity</t>
  </si>
  <si>
    <t>Pa*s</t>
  </si>
  <si>
    <t>Molar density</t>
  </si>
  <si>
    <t>Mass density</t>
  </si>
  <si>
    <t>Gas constant</t>
  </si>
  <si>
    <t>J/mol K</t>
  </si>
  <si>
    <t>mol/m^3</t>
  </si>
  <si>
    <t>kg/m^3</t>
  </si>
  <si>
    <t>Cross section flow area</t>
  </si>
  <si>
    <t>m^2</t>
  </si>
  <si>
    <t>m</t>
  </si>
  <si>
    <t>m^3/s</t>
  </si>
  <si>
    <t>Flowing velocity</t>
  </si>
  <si>
    <t>m/s</t>
  </si>
  <si>
    <t>ft/s</t>
  </si>
  <si>
    <t>Reynolds number</t>
  </si>
  <si>
    <t>API gravity</t>
  </si>
  <si>
    <t>Density</t>
  </si>
  <si>
    <t>lb/ft^3</t>
  </si>
  <si>
    <t>Length</t>
  </si>
  <si>
    <t>ft</t>
  </si>
  <si>
    <t>Volume</t>
  </si>
  <si>
    <t>m^3</t>
  </si>
  <si>
    <t>bbl</t>
  </si>
  <si>
    <t>bbl/day</t>
  </si>
  <si>
    <t>Velocity</t>
  </si>
  <si>
    <t>Darcy friction factor</t>
  </si>
  <si>
    <t>Roughness</t>
  </si>
  <si>
    <t>psi</t>
  </si>
  <si>
    <t>Elevation change</t>
  </si>
  <si>
    <t>Pressure difference</t>
  </si>
  <si>
    <t>Compressibility (Z)</t>
  </si>
  <si>
    <t>Initial Pressure</t>
  </si>
  <si>
    <t>Simple friction + elevation pressure change</t>
  </si>
  <si>
    <t>Pressure at end of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</si>
</sst>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000_);_(* \(#,##0.0000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11" fontId="0" fillId="2" borderId="0" xfId="0" applyNumberFormat="1" applyFill="1"/>
    <xf numFmtId="0" fontId="2" fillId="0" borderId="0" xfId="0" applyFont="1"/>
    <xf numFmtId="1" fontId="0" fillId="2" borderId="0" xfId="0" applyNumberFormat="1" applyFill="1"/>
    <xf numFmtId="164" fontId="0" fillId="2" borderId="0" xfId="1" applyNumberFormat="1" applyFont="1" applyFill="1"/>
    <xf numFmtId="165" fontId="0" fillId="2" borderId="0" xfId="1" applyNumberFormat="1" applyFont="1" applyFill="1"/>
    <xf numFmtId="164" fontId="0" fillId="0" borderId="0" xfId="1" applyNumberFormat="1" applyFont="1" applyFill="1"/>
    <xf numFmtId="11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A945F7-C33E-4E01-9BFB-14A58DF3FD3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abdf729-a122-4784-beb1-b49448c1aca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2858E-F646-426A-B2A9-DEC8DA9118FF}">
  <dimension ref="A2:F38"/>
  <sheetViews>
    <sheetView tabSelected="1" topLeftCell="A18" workbookViewId="0">
      <selection activeCell="F37" sqref="F37"/>
    </sheetView>
  </sheetViews>
  <sheetFormatPr defaultRowHeight="14.25" x14ac:dyDescent="0.45"/>
  <cols>
    <col min="1" max="1" width="37.19921875" bestFit="1" customWidth="1"/>
    <col min="4" max="4" width="11.1328125" bestFit="1" customWidth="1"/>
  </cols>
  <sheetData>
    <row r="2" spans="1:5" x14ac:dyDescent="0.45">
      <c r="A2" t="s">
        <v>0</v>
      </c>
      <c r="B2" s="2">
        <v>0.84</v>
      </c>
      <c r="C2" t="s">
        <v>6</v>
      </c>
      <c r="D2" s="1">
        <f>CONVERT(B2, "in", "m")</f>
        <v>2.1336000000000001E-2</v>
      </c>
      <c r="E2" t="s">
        <v>30</v>
      </c>
    </row>
    <row r="3" spans="1:5" x14ac:dyDescent="0.45">
      <c r="A3" t="s">
        <v>1</v>
      </c>
      <c r="B3" s="2">
        <v>0.14699999999999999</v>
      </c>
      <c r="C3" t="s">
        <v>6</v>
      </c>
      <c r="D3" s="1">
        <f>CONVERT(B3, "in", "m")</f>
        <v>3.7337999999999998E-3</v>
      </c>
      <c r="E3" t="s">
        <v>30</v>
      </c>
    </row>
    <row r="4" spans="1:5" x14ac:dyDescent="0.45">
      <c r="A4" t="s">
        <v>2</v>
      </c>
      <c r="B4" s="1">
        <f>CONVERT(D4, "m", "in")</f>
        <v>0.54600000000000004</v>
      </c>
      <c r="C4" t="s">
        <v>6</v>
      </c>
      <c r="D4" s="1">
        <f>D2-D3*2</f>
        <v>1.3868400000000001E-2</v>
      </c>
      <c r="E4" t="s">
        <v>30</v>
      </c>
    </row>
    <row r="5" spans="1:5" x14ac:dyDescent="0.45">
      <c r="A5" t="s">
        <v>28</v>
      </c>
      <c r="D5" s="1">
        <f>D4^2/4*PI()</f>
        <v>1.5105760683862965E-4</v>
      </c>
      <c r="E5" t="s">
        <v>29</v>
      </c>
    </row>
    <row r="6" spans="1:5" x14ac:dyDescent="0.45">
      <c r="A6" t="s">
        <v>39</v>
      </c>
      <c r="B6" s="2">
        <v>10</v>
      </c>
      <c r="C6" t="s">
        <v>40</v>
      </c>
      <c r="D6" s="1">
        <f>CONVERT(B6,"ft","m")</f>
        <v>3.048</v>
      </c>
      <c r="E6" t="s">
        <v>30</v>
      </c>
    </row>
    <row r="7" spans="1:5" x14ac:dyDescent="0.45">
      <c r="A7" t="s">
        <v>41</v>
      </c>
      <c r="B7" s="5">
        <f>CONVERT(D7,"m^3","barrel")</f>
        <v>2.8959772279455007E-3</v>
      </c>
      <c r="C7" t="s">
        <v>43</v>
      </c>
      <c r="D7" s="1">
        <f>D6*D5</f>
        <v>4.6042358564414321E-4</v>
      </c>
      <c r="E7" t="s">
        <v>42</v>
      </c>
    </row>
    <row r="8" spans="1:5" x14ac:dyDescent="0.45">
      <c r="A8" t="s">
        <v>47</v>
      </c>
      <c r="B8" s="2">
        <v>1.4999999999999999E-4</v>
      </c>
      <c r="C8" t="s">
        <v>40</v>
      </c>
      <c r="D8" s="1">
        <f>CONVERT(B8,"ft","m")</f>
        <v>4.5719999999999996E-5</v>
      </c>
      <c r="E8" t="s">
        <v>30</v>
      </c>
    </row>
    <row r="9" spans="1:5" x14ac:dyDescent="0.45">
      <c r="A9" t="s">
        <v>49</v>
      </c>
      <c r="B9" s="2">
        <v>0</v>
      </c>
      <c r="C9" t="s">
        <v>40</v>
      </c>
      <c r="D9" s="1">
        <f>CONVERT(B9,"ft","m")</f>
        <v>0</v>
      </c>
      <c r="E9" t="s">
        <v>30</v>
      </c>
    </row>
    <row r="11" spans="1:5" x14ac:dyDescent="0.45">
      <c r="A11" s="4" t="s">
        <v>3</v>
      </c>
    </row>
    <row r="12" spans="1:5" x14ac:dyDescent="0.45">
      <c r="A12" t="s">
        <v>36</v>
      </c>
      <c r="B12" s="2">
        <v>55</v>
      </c>
    </row>
    <row r="13" spans="1:5" x14ac:dyDescent="0.45">
      <c r="A13" t="s">
        <v>5</v>
      </c>
      <c r="B13" s="2">
        <v>2000</v>
      </c>
      <c r="C13" t="s">
        <v>44</v>
      </c>
      <c r="D13" s="1">
        <f>CONVERT(B13,"barrel", "m^3")/3600/24</f>
        <v>3.6802614566666669E-3</v>
      </c>
      <c r="E13" t="s">
        <v>31</v>
      </c>
    </row>
    <row r="14" spans="1:5" x14ac:dyDescent="0.45">
      <c r="A14" t="s">
        <v>20</v>
      </c>
      <c r="B14" s="2">
        <v>1</v>
      </c>
      <c r="C14" t="s">
        <v>15</v>
      </c>
      <c r="D14" s="1">
        <f>B14/1000</f>
        <v>1E-3</v>
      </c>
      <c r="E14" t="s">
        <v>21</v>
      </c>
    </row>
    <row r="15" spans="1:5" x14ac:dyDescent="0.45">
      <c r="A15" t="s">
        <v>37</v>
      </c>
      <c r="B15" s="1">
        <f>D15*2.20462/CONVERT(1, "m^3", "ft^3")</f>
        <v>47.364857459582765</v>
      </c>
      <c r="C15" t="s">
        <v>38</v>
      </c>
      <c r="D15" s="1">
        <f>(141.5/(B12+131.5))*1000</f>
        <v>758.71313672922247</v>
      </c>
      <c r="E15" t="s">
        <v>27</v>
      </c>
    </row>
    <row r="16" spans="1:5" x14ac:dyDescent="0.45">
      <c r="A16" t="s">
        <v>45</v>
      </c>
      <c r="B16" s="1">
        <f>CONVERT(D16,"m","ft")</f>
        <v>79.932079316004121</v>
      </c>
      <c r="C16" t="s">
        <v>34</v>
      </c>
      <c r="D16" s="1">
        <f>D13/D5</f>
        <v>24.363297775518056</v>
      </c>
      <c r="E16" t="s">
        <v>33</v>
      </c>
    </row>
    <row r="17" spans="1:5" x14ac:dyDescent="0.45">
      <c r="A17" t="s">
        <v>35</v>
      </c>
      <c r="D17" s="9">
        <f>D15*D16*D4/D14</f>
        <v>256353.96343219429</v>
      </c>
    </row>
    <row r="18" spans="1:5" x14ac:dyDescent="0.45">
      <c r="A18" t="s">
        <v>46</v>
      </c>
      <c r="D18" s="7">
        <f>IF(D17&gt;2000,4*0.001375*(1+(20000*D8/D4+1000000/D17)^(1/3)),64/D17)</f>
        <v>2.8149236901216519E-2</v>
      </c>
    </row>
    <row r="19" spans="1:5" x14ac:dyDescent="0.45">
      <c r="A19" t="s">
        <v>50</v>
      </c>
      <c r="B19" s="1">
        <f>CONVERT(D19,"Pa","psi")</f>
        <v>-202.04867240154948</v>
      </c>
      <c r="C19" t="s">
        <v>48</v>
      </c>
      <c r="D19" s="6">
        <f>-D18*D6/D4*D15*D16^2/2-D9*9.8066*D15</f>
        <v>-1393076.5576155684</v>
      </c>
      <c r="E19" t="s">
        <v>13</v>
      </c>
    </row>
    <row r="20" spans="1:5" x14ac:dyDescent="0.45">
      <c r="D20" s="8"/>
    </row>
    <row r="22" spans="1:5" x14ac:dyDescent="0.45">
      <c r="A22" s="4" t="s">
        <v>4</v>
      </c>
      <c r="D22" t="s">
        <v>24</v>
      </c>
      <c r="E22" t="s">
        <v>25</v>
      </c>
    </row>
    <row r="23" spans="1:5" x14ac:dyDescent="0.45">
      <c r="A23" t="s">
        <v>51</v>
      </c>
      <c r="B23" s="2">
        <v>0.98</v>
      </c>
      <c r="D23">
        <v>8.3144600000000004</v>
      </c>
    </row>
    <row r="24" spans="1:5" x14ac:dyDescent="0.45">
      <c r="A24" t="s">
        <v>5</v>
      </c>
      <c r="B24" s="2">
        <v>0.13</v>
      </c>
      <c r="C24" t="s">
        <v>7</v>
      </c>
      <c r="D24" s="1">
        <f>B24*13.83439</f>
        <v>1.7984707000000002</v>
      </c>
      <c r="E24" t="s">
        <v>8</v>
      </c>
    </row>
    <row r="25" spans="1:5" x14ac:dyDescent="0.45">
      <c r="A25" t="s">
        <v>52</v>
      </c>
      <c r="B25" s="2">
        <f>19.3+14.696</f>
        <v>33.996000000000002</v>
      </c>
      <c r="C25" t="s">
        <v>12</v>
      </c>
      <c r="D25" s="1">
        <f>CONVERT(B25, "psi", "Pa")</f>
        <v>234394.16893855165</v>
      </c>
      <c r="E25" t="s">
        <v>13</v>
      </c>
    </row>
    <row r="26" spans="1:5" x14ac:dyDescent="0.45">
      <c r="A26" t="s">
        <v>9</v>
      </c>
      <c r="B26" s="2">
        <v>100</v>
      </c>
      <c r="C26" t="s">
        <v>10</v>
      </c>
      <c r="D26" s="1">
        <f>CONVERT(B26, "F", "K")</f>
        <v>310.92777777777775</v>
      </c>
      <c r="E26" t="s">
        <v>11</v>
      </c>
    </row>
    <row r="27" spans="1:5" x14ac:dyDescent="0.45">
      <c r="A27" t="s">
        <v>14</v>
      </c>
      <c r="B27" s="2">
        <v>29</v>
      </c>
      <c r="C27" t="s">
        <v>18</v>
      </c>
    </row>
    <row r="29" spans="1:5" x14ac:dyDescent="0.45">
      <c r="A29" t="s">
        <v>22</v>
      </c>
      <c r="D29" s="1">
        <f>D25/(B23*D23*D26)</f>
        <v>92.518196128353807</v>
      </c>
      <c r="E29" t="s">
        <v>26</v>
      </c>
    </row>
    <row r="30" spans="1:5" x14ac:dyDescent="0.45">
      <c r="A30" t="s">
        <v>23</v>
      </c>
      <c r="D30" s="1">
        <f>D29*B27/1000</f>
        <v>2.6830276877222605</v>
      </c>
      <c r="E30" t="s">
        <v>27</v>
      </c>
    </row>
    <row r="31" spans="1:5" x14ac:dyDescent="0.45">
      <c r="A31" t="s">
        <v>20</v>
      </c>
      <c r="B31" s="2">
        <v>1.272E-2</v>
      </c>
      <c r="C31" t="s">
        <v>15</v>
      </c>
      <c r="D31" s="3">
        <f>B31/1000</f>
        <v>1.272E-5</v>
      </c>
      <c r="E31" t="s">
        <v>21</v>
      </c>
    </row>
    <row r="32" spans="1:5" x14ac:dyDescent="0.45">
      <c r="A32" t="s">
        <v>16</v>
      </c>
      <c r="D32" s="1">
        <f>B27*D24/1000</f>
        <v>5.2155650300000002E-2</v>
      </c>
      <c r="E32" t="s">
        <v>17</v>
      </c>
    </row>
    <row r="33" spans="1:6" x14ac:dyDescent="0.45">
      <c r="A33" t="s">
        <v>19</v>
      </c>
      <c r="D33" s="1">
        <f>D32/D30</f>
        <v>1.9439102525355308E-2</v>
      </c>
      <c r="E33" t="s">
        <v>31</v>
      </c>
    </row>
    <row r="34" spans="1:6" x14ac:dyDescent="0.45">
      <c r="A34" t="s">
        <v>32</v>
      </c>
      <c r="B34" s="1">
        <f>CONVERT(D34,"m", "ft")</f>
        <v>422.20040700477051</v>
      </c>
      <c r="C34" t="s">
        <v>34</v>
      </c>
      <c r="D34" s="1">
        <f>D33/D5</f>
        <v>128.68668405505406</v>
      </c>
      <c r="E34" t="s">
        <v>33</v>
      </c>
    </row>
    <row r="35" spans="1:6" x14ac:dyDescent="0.45">
      <c r="A35" t="s">
        <v>35</v>
      </c>
      <c r="D35" s="3">
        <f>D30*D34*D4/D31</f>
        <v>376441.94853987294</v>
      </c>
    </row>
    <row r="36" spans="1:6" x14ac:dyDescent="0.45">
      <c r="A36" t="s">
        <v>46</v>
      </c>
      <c r="D36">
        <f>IF(D35&gt;2000,4*0.001375*(1+(20000*D8/D4+1000000/D35)^(1/3)),64/D35)</f>
        <v>2.8013899188800411E-2</v>
      </c>
      <c r="F36">
        <f>4*D36*D6/D4</f>
        <v>24.627603682461896</v>
      </c>
    </row>
    <row r="37" spans="1:6" x14ac:dyDescent="0.45">
      <c r="A37" t="s">
        <v>53</v>
      </c>
      <c r="B37" s="1">
        <f>CONVERT(D37,"Pa","psi")</f>
        <v>-19.838350603066534</v>
      </c>
      <c r="C37" t="s">
        <v>48</v>
      </c>
      <c r="D37">
        <f>-D36*D6/D4*D30*D34^2/2-D9*9.8066*D30</f>
        <v>-136780.61250492395</v>
      </c>
    </row>
    <row r="38" spans="1:6" x14ac:dyDescent="0.45">
      <c r="A38" t="s">
        <v>54</v>
      </c>
      <c r="B38" s="1">
        <f>CONVERT(D38,"Pa","psi")</f>
        <v>14.15764939693347</v>
      </c>
      <c r="C38" t="s">
        <v>48</v>
      </c>
      <c r="D38">
        <f>D37+D25</f>
        <v>97613.556433627702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Maginot</dc:creator>
  <cp:lastModifiedBy>Peter Maginot</cp:lastModifiedBy>
  <dcterms:created xsi:type="dcterms:W3CDTF">2026-04-21T19:22:59Z</dcterms:created>
  <dcterms:modified xsi:type="dcterms:W3CDTF">2026-07-07T20:33:41Z</dcterms:modified>
</cp:coreProperties>
</file>